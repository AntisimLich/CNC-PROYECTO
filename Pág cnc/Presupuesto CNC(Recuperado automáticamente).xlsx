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Importante\"/>
    </mc:Choice>
  </mc:AlternateContent>
  <xr:revisionPtr revIDLastSave="0" documentId="13_ncr:1_{0DADF104-A720-4B33-8048-23621114544B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7" i="1" l="1"/>
  <c r="E15" i="1"/>
  <c r="E2" i="1" l="1"/>
</calcChain>
</file>

<file path=xl/sharedStrings.xml><?xml version="1.0" encoding="utf-8"?>
<sst xmlns="http://schemas.openxmlformats.org/spreadsheetml/2006/main" count="69" uniqueCount="64">
  <si>
    <t>Producto</t>
  </si>
  <si>
    <t>Cantidad</t>
  </si>
  <si>
    <t>Medida</t>
  </si>
  <si>
    <t>Precio Unitario</t>
  </si>
  <si>
    <t>Total</t>
  </si>
  <si>
    <t>Nema 17 Motor</t>
  </si>
  <si>
    <t>Arandelas M3</t>
  </si>
  <si>
    <t>Arandelas M5</t>
  </si>
  <si>
    <t>Arandelas M12</t>
  </si>
  <si>
    <t>Separador Aluminio</t>
  </si>
  <si>
    <t>Tuerca M12</t>
  </si>
  <si>
    <t>Tuerca Autofrenante</t>
  </si>
  <si>
    <t>Correa GT2</t>
  </si>
  <si>
    <t>Perfil Bosch Tslot</t>
  </si>
  <si>
    <t>Perfil Aluminio</t>
  </si>
  <si>
    <t>Tablón de madera</t>
  </si>
  <si>
    <t>Arduino Uno R3</t>
  </si>
  <si>
    <t>Shield CNC V3</t>
  </si>
  <si>
    <t>A4988 Driver</t>
  </si>
  <si>
    <t>Cable Unipolar</t>
  </si>
  <si>
    <t>Malla Tejida</t>
  </si>
  <si>
    <t>Cooler Brushless</t>
  </si>
  <si>
    <t>Display LCD</t>
  </si>
  <si>
    <t>Cabezal Láser</t>
  </si>
  <si>
    <t>Lija para madera</t>
  </si>
  <si>
    <t>Eco Recarga Acrílico</t>
  </si>
  <si>
    <t>Barniz Acuarel</t>
  </si>
  <si>
    <t>50cm/c</t>
  </si>
  <si>
    <t>120cm/c</t>
  </si>
  <si>
    <t>Tuerca Excéntrica</t>
  </si>
  <si>
    <t>Polea GT2 16 dientes</t>
  </si>
  <si>
    <t>Ruedas pom 625zz rodamiento</t>
  </si>
  <si>
    <t>Fuente ATX 550w</t>
  </si>
  <si>
    <t>Cables dupont (pack de 40)</t>
  </si>
  <si>
    <t xml:space="preserve">Largo 8mm Cabeza 5.5 mm Grosor 3.0 mm </t>
  </si>
  <si>
    <t>Tornillos Electrónica M5</t>
  </si>
  <si>
    <t>Tornillos Electrónica M4</t>
  </si>
  <si>
    <t>Tornillo Cilíndrico M4</t>
  </si>
  <si>
    <t>Tornillo Métrico M3</t>
  </si>
  <si>
    <t>Tuerca Martillo M4</t>
  </si>
  <si>
    <t xml:space="preserve">Largo 25mm Cabeza 8.5 mm Grosor 5.0 mm </t>
  </si>
  <si>
    <t xml:space="preserve">Largo 14mm Cabeza 8.5 mm Grosor 5.0 mm </t>
  </si>
  <si>
    <t xml:space="preserve">Largo 30mm Cabeza 8.5 mm Grosor 5.0 mm </t>
  </si>
  <si>
    <t>Grosor 6mm</t>
  </si>
  <si>
    <t>Diámetro exterior 10mm</t>
  </si>
  <si>
    <t>Diámetro interior 5,3 mm</t>
  </si>
  <si>
    <t xml:space="preserve">Diámetro interior 3,2 mmdiámetro exterior 7mm </t>
  </si>
  <si>
    <t xml:space="preserve">Diámetro 4mm </t>
  </si>
  <si>
    <t xml:space="preserve">Diámetro 5 mm </t>
  </si>
  <si>
    <t xml:space="preserve">Diámetro 12 mm </t>
  </si>
  <si>
    <t>Largo 1M Ancho 6mm</t>
  </si>
  <si>
    <t>Largo 70cm Ancho 50cm Grosor 15mm</t>
  </si>
  <si>
    <t>Largo 1M Ancho 20mm x 20mm</t>
  </si>
  <si>
    <t>Largo 1M Ancho 15mm x 15mm</t>
  </si>
  <si>
    <t>80mm x 25mm</t>
  </si>
  <si>
    <t>Ancho 10.2mm diametro 24mm Apoyo 6mm Paso 5mm</t>
  </si>
  <si>
    <t>Grosor 1.5mm Largo 2,5 M</t>
  </si>
  <si>
    <t>Varilla roscada M12</t>
  </si>
  <si>
    <t>Varilla roscada M5</t>
  </si>
  <si>
    <t xml:space="preserve">Largo 12 mm Cabeza 7.0 mm Grosor 4.0 mm </t>
  </si>
  <si>
    <t xml:space="preserve">Largo 45 mm Cabeza 7.0 mm Grosor 4.0 mm </t>
  </si>
  <si>
    <t>Largo 1,1M Diámetro 8mm</t>
  </si>
  <si>
    <t>Largo 1M Diámetro 5mm</t>
  </si>
  <si>
    <t>Total descontando lo que tenemos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</si>
</sst>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6" zoomScaleNormal="100" workbookViewId="0">
      <selection activeCell="F1" sqref="F1:F1048576"/>
    </sheetView>
  </sheetViews>
  <sheetFormatPr baseColWidth="10" defaultColWidth="8.7265625" defaultRowHeight="14.5" x14ac:dyDescent="0.35"/>
  <cols>
    <col min="1" max="1" width="25.90625" style="4" customWidth="1"/>
    <col min="2" max="2" width="16.453125" style="4" customWidth="1"/>
    <col min="3" max="3" width="53.08984375" style="4" customWidth="1"/>
    <col min="4" max="4" width="15.1796875" style="4" customWidth="1"/>
    <col min="5" max="5" width="11.1796875" style="4" bestFit="1" customWidth="1"/>
    <col min="6" max="6" width="8.54296875" hidden="1" customWidth="1"/>
    <col min="7" max="7" width="14.36328125" customWidth="1"/>
    <col min="8" max="8" width="32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4</v>
      </c>
      <c r="H1" s="2" t="s">
        <v>63</v>
      </c>
    </row>
    <row r="2" spans="1:8" x14ac:dyDescent="0.35">
      <c r="A2" s="4" t="s">
        <v>5</v>
      </c>
      <c r="B2" s="3">
        <v>3</v>
      </c>
      <c r="D2" s="4">
        <v>19940</v>
      </c>
      <c r="E2" s="4">
        <f>3*D2</f>
        <v>59820</v>
      </c>
      <c r="G2" s="8">
        <v>518993.34</v>
      </c>
      <c r="H2" s="7">
        <v>111881.38</v>
      </c>
    </row>
    <row r="3" spans="1:8" x14ac:dyDescent="0.35">
      <c r="A3" s="4" t="s">
        <v>38</v>
      </c>
      <c r="B3" s="4">
        <v>12</v>
      </c>
      <c r="C3" s="4" t="s">
        <v>34</v>
      </c>
      <c r="D3" s="4">
        <v>40.32</v>
      </c>
      <c r="E3" s="4">
        <v>483.84</v>
      </c>
      <c r="G3" s="6"/>
    </row>
    <row r="4" spans="1:8" x14ac:dyDescent="0.35">
      <c r="A4" s="4" t="s">
        <v>35</v>
      </c>
      <c r="B4" s="4">
        <v>8</v>
      </c>
      <c r="C4" s="4" t="s">
        <v>41</v>
      </c>
      <c r="D4" s="4">
        <v>231.8</v>
      </c>
      <c r="E4" s="4">
        <v>11590</v>
      </c>
    </row>
    <row r="5" spans="1:8" x14ac:dyDescent="0.35">
      <c r="A5" s="4" t="s">
        <v>35</v>
      </c>
      <c r="B5" s="4">
        <v>4</v>
      </c>
      <c r="C5" s="4" t="s">
        <v>40</v>
      </c>
      <c r="D5" s="4">
        <v>90.83</v>
      </c>
      <c r="E5" s="4">
        <v>726.64</v>
      </c>
    </row>
    <row r="6" spans="1:8" x14ac:dyDescent="0.35">
      <c r="A6" s="4" t="s">
        <v>35</v>
      </c>
      <c r="B6" s="4">
        <v>8</v>
      </c>
      <c r="C6" s="4" t="s">
        <v>42</v>
      </c>
      <c r="D6" s="4">
        <v>106.43</v>
      </c>
      <c r="E6" s="4">
        <v>851.44</v>
      </c>
    </row>
    <row r="7" spans="1:8" x14ac:dyDescent="0.35">
      <c r="A7" s="4" t="s">
        <v>36</v>
      </c>
      <c r="B7" s="4">
        <v>8</v>
      </c>
      <c r="C7" s="4" t="s">
        <v>59</v>
      </c>
      <c r="D7" s="4">
        <v>47.32</v>
      </c>
      <c r="E7" s="4">
        <v>378.56</v>
      </c>
    </row>
    <row r="8" spans="1:8" x14ac:dyDescent="0.35">
      <c r="A8" s="4" t="s">
        <v>37</v>
      </c>
      <c r="B8" s="4">
        <v>4</v>
      </c>
      <c r="C8" s="4" t="s">
        <v>60</v>
      </c>
      <c r="D8" s="4">
        <v>94.15</v>
      </c>
      <c r="E8" s="4">
        <v>376.6</v>
      </c>
    </row>
    <row r="9" spans="1:8" x14ac:dyDescent="0.35">
      <c r="A9" s="4" t="s">
        <v>6</v>
      </c>
      <c r="B9" s="4">
        <v>12</v>
      </c>
      <c r="C9" s="4" t="s">
        <v>46</v>
      </c>
      <c r="D9" s="4">
        <v>35.47</v>
      </c>
      <c r="E9" s="4">
        <v>425.64</v>
      </c>
    </row>
    <row r="10" spans="1:8" x14ac:dyDescent="0.35">
      <c r="A10" s="4" t="s">
        <v>7</v>
      </c>
      <c r="B10" s="4">
        <v>32</v>
      </c>
      <c r="C10" s="4" t="s">
        <v>45</v>
      </c>
      <c r="D10" s="4">
        <v>39.69</v>
      </c>
      <c r="E10" s="4">
        <v>1270.08</v>
      </c>
    </row>
    <row r="11" spans="1:8" x14ac:dyDescent="0.35">
      <c r="A11" s="4" t="s">
        <v>8</v>
      </c>
      <c r="B11" s="4">
        <v>4</v>
      </c>
      <c r="C11" s="4" t="s">
        <v>44</v>
      </c>
      <c r="D11" s="4">
        <v>188.48</v>
      </c>
      <c r="E11" s="4">
        <v>753.92</v>
      </c>
    </row>
    <row r="12" spans="1:8" x14ac:dyDescent="0.35">
      <c r="A12" s="4" t="s">
        <v>9</v>
      </c>
      <c r="B12" s="4">
        <v>12</v>
      </c>
      <c r="C12" s="4" t="s">
        <v>43</v>
      </c>
      <c r="D12" s="4">
        <v>877</v>
      </c>
      <c r="E12" s="4">
        <v>17541</v>
      </c>
    </row>
    <row r="13" spans="1:8" x14ac:dyDescent="0.35">
      <c r="A13" s="4" t="s">
        <v>29</v>
      </c>
      <c r="B13" s="4">
        <v>6</v>
      </c>
      <c r="C13" s="4" t="s">
        <v>43</v>
      </c>
      <c r="D13" s="4">
        <v>1008.73</v>
      </c>
      <c r="E13" s="4">
        <v>6052.38</v>
      </c>
    </row>
    <row r="14" spans="1:8" x14ac:dyDescent="0.35">
      <c r="A14" s="4" t="s">
        <v>39</v>
      </c>
      <c r="B14" s="4">
        <v>8</v>
      </c>
      <c r="C14" s="4" t="s">
        <v>47</v>
      </c>
      <c r="D14" s="4">
        <v>28.5</v>
      </c>
      <c r="E14" s="4">
        <v>2850</v>
      </c>
    </row>
    <row r="15" spans="1:8" x14ac:dyDescent="0.35">
      <c r="A15" s="4" t="s">
        <v>10</v>
      </c>
      <c r="B15" s="4">
        <v>4</v>
      </c>
      <c r="C15" s="4" t="s">
        <v>49</v>
      </c>
      <c r="D15" s="4">
        <v>84.63</v>
      </c>
      <c r="E15" s="4">
        <f>4*D15</f>
        <v>338.52</v>
      </c>
    </row>
    <row r="16" spans="1:8" x14ac:dyDescent="0.35">
      <c r="A16" s="4" t="s">
        <v>11</v>
      </c>
      <c r="B16" s="4">
        <v>12</v>
      </c>
      <c r="C16" s="4" t="s">
        <v>48</v>
      </c>
      <c r="D16" s="4">
        <v>16.059999999999999</v>
      </c>
      <c r="E16" s="4">
        <v>192.72</v>
      </c>
    </row>
    <row r="17" spans="1:5" x14ac:dyDescent="0.35">
      <c r="A17" s="4" t="s">
        <v>30</v>
      </c>
      <c r="B17" s="4">
        <v>3</v>
      </c>
      <c r="C17" s="4" t="s">
        <v>48</v>
      </c>
      <c r="D17" s="4">
        <v>2406</v>
      </c>
      <c r="E17" s="4">
        <v>7218</v>
      </c>
    </row>
    <row r="18" spans="1:5" x14ac:dyDescent="0.35">
      <c r="A18" s="4" t="s">
        <v>12</v>
      </c>
      <c r="B18" s="4">
        <v>3</v>
      </c>
      <c r="C18" s="4" t="s">
        <v>50</v>
      </c>
      <c r="D18" s="4">
        <v>3900</v>
      </c>
      <c r="E18" s="4">
        <v>11700</v>
      </c>
    </row>
    <row r="19" spans="1:5" x14ac:dyDescent="0.35">
      <c r="A19" s="4" t="s">
        <v>31</v>
      </c>
      <c r="B19" s="4">
        <v>12</v>
      </c>
      <c r="C19" s="4" t="s">
        <v>55</v>
      </c>
      <c r="D19" s="4">
        <v>2740.91</v>
      </c>
      <c r="E19" s="4">
        <v>32891</v>
      </c>
    </row>
    <row r="20" spans="1:5" x14ac:dyDescent="0.35">
      <c r="A20" s="4" t="s">
        <v>13</v>
      </c>
      <c r="B20" s="4">
        <v>2</v>
      </c>
      <c r="C20" s="4" t="s">
        <v>52</v>
      </c>
      <c r="D20" s="4">
        <v>12125</v>
      </c>
      <c r="E20" s="4">
        <v>36375</v>
      </c>
    </row>
    <row r="21" spans="1:5" x14ac:dyDescent="0.35">
      <c r="A21" s="4" t="s">
        <v>14</v>
      </c>
      <c r="B21" s="4">
        <v>1</v>
      </c>
      <c r="C21" s="4" t="s">
        <v>53</v>
      </c>
      <c r="D21" s="4">
        <v>1570</v>
      </c>
      <c r="E21" s="4">
        <v>1570</v>
      </c>
    </row>
    <row r="22" spans="1:5" x14ac:dyDescent="0.35">
      <c r="A22" s="4" t="s">
        <v>15</v>
      </c>
      <c r="B22" s="4">
        <v>1</v>
      </c>
      <c r="C22" s="4" t="s">
        <v>51</v>
      </c>
      <c r="D22" s="4">
        <v>6300</v>
      </c>
      <c r="E22" s="4">
        <v>6300</v>
      </c>
    </row>
    <row r="23" spans="1:5" x14ac:dyDescent="0.35">
      <c r="A23" s="4" t="s">
        <v>32</v>
      </c>
      <c r="B23" s="4">
        <v>1</v>
      </c>
      <c r="D23" s="4">
        <v>10000</v>
      </c>
      <c r="E23" s="4">
        <v>10000</v>
      </c>
    </row>
    <row r="24" spans="1:5" x14ac:dyDescent="0.35">
      <c r="A24" s="4" t="s">
        <v>16</v>
      </c>
      <c r="B24" s="4">
        <v>1</v>
      </c>
      <c r="D24" s="4">
        <v>13640</v>
      </c>
      <c r="E24" s="4">
        <v>13640</v>
      </c>
    </row>
    <row r="25" spans="1:5" x14ac:dyDescent="0.35">
      <c r="A25" s="4" t="s">
        <v>17</v>
      </c>
      <c r="B25" s="4">
        <v>1</v>
      </c>
      <c r="D25" s="4">
        <v>8601</v>
      </c>
      <c r="E25" s="4">
        <v>8601</v>
      </c>
    </row>
    <row r="26" spans="1:5" x14ac:dyDescent="0.35">
      <c r="A26" s="4" t="s">
        <v>18</v>
      </c>
      <c r="B26" s="4">
        <v>3</v>
      </c>
      <c r="D26" s="4">
        <v>3450</v>
      </c>
      <c r="E26" s="4">
        <v>10350</v>
      </c>
    </row>
    <row r="27" spans="1:5" x14ac:dyDescent="0.35">
      <c r="A27" s="4" t="s">
        <v>19</v>
      </c>
      <c r="B27" s="4">
        <v>1</v>
      </c>
      <c r="C27" s="4" t="s">
        <v>56</v>
      </c>
      <c r="D27" s="4">
        <v>5600</v>
      </c>
      <c r="E27" s="4">
        <v>5600</v>
      </c>
    </row>
    <row r="28" spans="1:5" x14ac:dyDescent="0.35">
      <c r="A28" s="4" t="s">
        <v>33</v>
      </c>
      <c r="B28" s="4">
        <v>1</v>
      </c>
      <c r="D28" s="4">
        <v>3000</v>
      </c>
      <c r="E28" s="4">
        <v>3000</v>
      </c>
    </row>
    <row r="29" spans="1:5" x14ac:dyDescent="0.35">
      <c r="A29" s="4" t="s">
        <v>20</v>
      </c>
      <c r="B29" s="4">
        <v>1</v>
      </c>
      <c r="D29" s="4">
        <v>3776</v>
      </c>
      <c r="E29" s="4">
        <v>3776</v>
      </c>
    </row>
    <row r="30" spans="1:5" x14ac:dyDescent="0.35">
      <c r="A30" s="4" t="s">
        <v>21</v>
      </c>
      <c r="B30" s="4">
        <v>1</v>
      </c>
      <c r="D30" s="4">
        <v>4000</v>
      </c>
      <c r="E30" s="4">
        <v>4000</v>
      </c>
    </row>
    <row r="31" spans="1:5" x14ac:dyDescent="0.35">
      <c r="A31" s="4" t="s">
        <v>22</v>
      </c>
      <c r="B31" s="4">
        <v>1</v>
      </c>
      <c r="C31" s="4" t="s">
        <v>54</v>
      </c>
      <c r="D31" s="4">
        <v>6818</v>
      </c>
      <c r="E31" s="4">
        <v>6818</v>
      </c>
    </row>
    <row r="32" spans="1:5" x14ac:dyDescent="0.35">
      <c r="A32" s="4" t="s">
        <v>23</v>
      </c>
      <c r="B32" s="4">
        <v>1</v>
      </c>
      <c r="D32" s="4">
        <v>224990</v>
      </c>
      <c r="E32" s="4">
        <v>224990</v>
      </c>
    </row>
    <row r="33" spans="1:5" x14ac:dyDescent="0.35">
      <c r="A33" s="4" t="s">
        <v>24</v>
      </c>
      <c r="B33" s="4">
        <v>1</v>
      </c>
      <c r="D33" s="4">
        <v>850</v>
      </c>
      <c r="E33" s="4">
        <v>850</v>
      </c>
    </row>
    <row r="34" spans="1:5" x14ac:dyDescent="0.35">
      <c r="A34" s="4" t="s">
        <v>25</v>
      </c>
      <c r="B34" s="4">
        <v>2</v>
      </c>
      <c r="C34" s="4" t="s">
        <v>27</v>
      </c>
      <c r="D34" s="4">
        <v>900</v>
      </c>
      <c r="E34" s="4">
        <v>1800</v>
      </c>
    </row>
    <row r="35" spans="1:5" x14ac:dyDescent="0.35">
      <c r="A35" s="4" t="s">
        <v>26</v>
      </c>
      <c r="B35" s="4">
        <v>1</v>
      </c>
      <c r="C35" s="4" t="s">
        <v>28</v>
      </c>
      <c r="D35" s="4">
        <v>2700</v>
      </c>
      <c r="E35" s="4">
        <v>2700</v>
      </c>
    </row>
    <row r="36" spans="1:5" x14ac:dyDescent="0.35">
      <c r="A36" s="4" t="s">
        <v>58</v>
      </c>
      <c r="B36" s="4">
        <v>1</v>
      </c>
      <c r="C36" s="4" t="s">
        <v>62</v>
      </c>
      <c r="D36" s="5">
        <v>3849</v>
      </c>
      <c r="E36" s="5">
        <v>3849</v>
      </c>
    </row>
    <row r="37" spans="1:5" x14ac:dyDescent="0.35">
      <c r="A37" s="4" t="s">
        <v>57</v>
      </c>
      <c r="B37" s="4">
        <v>2</v>
      </c>
      <c r="C37" s="4" t="s">
        <v>61</v>
      </c>
      <c r="D37" s="5">
        <v>9657</v>
      </c>
      <c r="E37" s="4">
        <f>2*D37</f>
        <v>19314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2025-06-26T23:57:54Z</dcterms:created>
  <dcterms:modified xsi:type="dcterms:W3CDTF">2025-06-29T14:52:00Z</dcterms:modified>
</cp:coreProperties>
</file>